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AE5701BE-9345-4ED2-959E-450A4F15C026}" xr6:coauthVersionLast="47" xr6:coauthVersionMax="47" xr10:uidLastSave="{00000000-0000-0000-0000-000000000000}"/>
  <bookViews>
    <workbookView xWindow="-108" yWindow="-108" windowWidth="23256" windowHeight="12456" xr2:uid="{F221DB82-6430-4EB2-A113-24B0DA4C9808}"/>
  </bookViews>
  <sheets>
    <sheet name="Ejer1" sheetId="2" r:id="rId1"/>
    <sheet name="Ejer 2" sheetId="7" r:id="rId2"/>
    <sheet name="Ejer3" sheetId="8" r:id="rId3"/>
    <sheet name="Gráfica de datos" sheetId="1" r:id="rId4"/>
    <sheet name="Ejer 4" sheetId="9" r:id="rId5"/>
    <sheet name="Ejer 5" sheetId="10" r:id="rId6"/>
    <sheet name="Ejer6" sheetId="11" r:id="rId7"/>
    <sheet name="Hoja7" sheetId="17" r:id="rId8"/>
    <sheet name="Ejer8" sheetId="12" r:id="rId9"/>
    <sheet name="Ejer9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1" l="1"/>
  <c r="C14" i="11" l="1"/>
  <c r="D13" i="10"/>
  <c r="D14" i="10"/>
  <c r="D15" i="10"/>
  <c r="D16" i="10"/>
  <c r="D12" i="10"/>
  <c r="H14" i="11" l="1"/>
</calcChain>
</file>

<file path=xl/sharedStrings.xml><?xml version="1.0" encoding="utf-8"?>
<sst xmlns="http://schemas.openxmlformats.org/spreadsheetml/2006/main" count="65" uniqueCount="52">
  <si>
    <t>Años</t>
  </si>
  <si>
    <t>COSTOS (ciento mill $)</t>
  </si>
  <si>
    <t xml:space="preserve">PRODUCCIÓN (ciento mill $) </t>
  </si>
  <si>
    <t>Cuadro producción y costo (ciento mill $) en la empresa X</t>
  </si>
  <si>
    <t>GRÁFICO DE LÍNEAS</t>
  </si>
  <si>
    <t>NUBE DE PUNTOS O DIAGRAMAS DE DISPERSIÓN</t>
  </si>
  <si>
    <t>Clase</t>
  </si>
  <si>
    <t>y mayor...</t>
  </si>
  <si>
    <t>Frecuencia</t>
  </si>
  <si>
    <t>a</t>
  </si>
  <si>
    <t>b</t>
  </si>
  <si>
    <t>c</t>
  </si>
  <si>
    <t>d</t>
  </si>
  <si>
    <t>e</t>
  </si>
  <si>
    <t>Escala</t>
  </si>
  <si>
    <t>f</t>
  </si>
  <si>
    <t>g</t>
  </si>
  <si>
    <t>Seguros</t>
  </si>
  <si>
    <t>Parqueadero</t>
  </si>
  <si>
    <t>Impuestos</t>
  </si>
  <si>
    <t>Depreciación</t>
  </si>
  <si>
    <t>Mantenimiento</t>
  </si>
  <si>
    <t>Gasolina</t>
  </si>
  <si>
    <t>Producción miles de ton.</t>
  </si>
  <si>
    <t>Elabore el Gráfico Correspondiente:</t>
  </si>
  <si>
    <t>Ventas miles de Ton.</t>
  </si>
  <si>
    <t>Suponga que los precios de 5 artículos para dos periodos han sido:</t>
  </si>
  <si>
    <t>Artículos</t>
  </si>
  <si>
    <t>Vehículos (usados)</t>
  </si>
  <si>
    <t>Computadores</t>
  </si>
  <si>
    <t>Tabletas inteligentes</t>
  </si>
  <si>
    <t>Celulares</t>
  </si>
  <si>
    <t>Antenas parabólicas</t>
  </si>
  <si>
    <t>Variacion %</t>
  </si>
  <si>
    <t>Elaborar una Gráfica de barra en dos direcciones (positivo y negativo)</t>
  </si>
  <si>
    <t>número de intervalos:</t>
  </si>
  <si>
    <t>Min</t>
  </si>
  <si>
    <t>max</t>
  </si>
  <si>
    <t>Amplitud de intervalo</t>
  </si>
  <si>
    <t>Intervalos</t>
  </si>
  <si>
    <t>Frecuencias</t>
  </si>
  <si>
    <t>Datos Agrupados e Intervalos de clase</t>
  </si>
  <si>
    <r>
      <rPr>
        <b/>
        <i/>
        <sz val="14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úm. Datos</t>
    </r>
  </si>
  <si>
    <t>Datos</t>
  </si>
  <si>
    <t>Rango (R)</t>
  </si>
  <si>
    <t>31-40</t>
  </si>
  <si>
    <t>41-50</t>
  </si>
  <si>
    <t>51-60</t>
  </si>
  <si>
    <t>61-70</t>
  </si>
  <si>
    <t>71-80</t>
  </si>
  <si>
    <t>81-90</t>
  </si>
  <si>
    <t>Crear polígono de frecuencias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</si>
</sst>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6" borderId="1" xfId="0" applyFill="1" applyBorder="1"/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0" fontId="0" fillId="0" borderId="1" xfId="0" applyNumberFormat="1" applyBorder="1"/>
    <xf numFmtId="164" fontId="0" fillId="0" borderId="1" xfId="1" applyNumberFormat="1" applyFont="1" applyBorder="1"/>
    <xf numFmtId="1" fontId="0" fillId="2" borderId="0" xfId="0" applyNumberFormat="1" applyFill="1" applyAlignment="1">
      <alignment horizontal="center"/>
    </xf>
    <xf numFmtId="1" fontId="0" fillId="2" borderId="0" xfId="0" applyNumberFormat="1" applyFill="1"/>
    <xf numFmtId="0" fontId="0" fillId="2" borderId="0" xfId="0" applyFill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8585"/>
      <color rgb="FFBF9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Polígono</a:t>
            </a:r>
            <a:r>
              <a:rPr lang="es-CO" baseline="0"/>
              <a:t> de Frecuencias</a:t>
            </a:r>
            <a:endParaRPr lang="es-CO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Frecuencia</c:v>
          </c:tx>
          <c:cat>
            <c:strRef>
              <c:f>Hoja7!$A$11:$A$18</c:f>
              <c:strCache>
                <c:ptCount val="8"/>
                <c:pt idx="0">
                  <c:v>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y mayor...</c:v>
                </c:pt>
              </c:strCache>
            </c:strRef>
          </c:cat>
          <c:val>
            <c:numRef>
              <c:f>Hoja7!$B$11:$B$18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E-4338-AFF2-8AD4B267C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05824"/>
        <c:axId val="294942976"/>
      </c:lineChart>
      <c:catAx>
        <c:axId val="159005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Clase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4942976"/>
        <c:crosses val="autoZero"/>
        <c:auto val="1"/>
        <c:lblAlgn val="ctr"/>
        <c:lblOffset val="100"/>
        <c:noMultiLvlLbl val="0"/>
      </c:catAx>
      <c:valAx>
        <c:axId val="294942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00582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Histograma de frecuencia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Hoja7!$B$10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Hoja7!$A$11:$A$18</c:f>
              <c:strCache>
                <c:ptCount val="8"/>
                <c:pt idx="0">
                  <c:v>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y mayor...</c:v>
                </c:pt>
              </c:strCache>
            </c:strRef>
          </c:cat>
          <c:val>
            <c:numRef>
              <c:f>Hoja7!$B$11:$B$18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7-4F3E-AF10-51EB3C5FD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86261168"/>
        <c:axId val="265757616"/>
      </c:barChart>
      <c:catAx>
        <c:axId val="28626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5757616"/>
        <c:crosses val="autoZero"/>
        <c:auto val="1"/>
        <c:lblAlgn val="ctr"/>
        <c:lblOffset val="100"/>
        <c:noMultiLvlLbl val="0"/>
      </c:catAx>
      <c:valAx>
        <c:axId val="26575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626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Histograma y Polígono</a:t>
            </a:r>
            <a:r>
              <a:rPr lang="es-CO" b="1" baseline="0"/>
              <a:t> de frecuencias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Hoja7!$B$10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lt1">
                  <a:shade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lt1">
                    <a:shade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77-4D20-BC43-225F5AD6540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lt1">
                    <a:shade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977-4D20-BC43-225F5AD6540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lt1">
                    <a:shade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77-4D20-BC43-225F5AD6540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lt1">
                    <a:shade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977-4D20-BC43-225F5AD6540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lt1">
                    <a:shade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77-4D20-BC43-225F5AD65407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lt1">
                    <a:shade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977-4D20-BC43-225F5AD65407}"/>
              </c:ext>
            </c:extLst>
          </c:dPt>
          <c:cat>
            <c:strRef>
              <c:f>Hoja7!$A$11:$A$18</c:f>
              <c:strCache>
                <c:ptCount val="8"/>
                <c:pt idx="0">
                  <c:v>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y mayor...</c:v>
                </c:pt>
              </c:strCache>
            </c:strRef>
          </c:cat>
          <c:val>
            <c:numRef>
              <c:f>Hoja7!$B$11:$B$18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7-4D20-BC43-225F5AD65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2933888"/>
        <c:axId val="294955040"/>
      </c:barChart>
      <c:lineChart>
        <c:grouping val="standard"/>
        <c:varyColors val="0"/>
        <c:ser>
          <c:idx val="1"/>
          <c:order val="1"/>
          <c:tx>
            <c:v>Polígono de frecuencias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Hoja7!$B$11:$B$18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77-4D20-BC43-225F5AD65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33888"/>
        <c:axId val="294955040"/>
      </c:lineChart>
      <c:catAx>
        <c:axId val="16293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4955040"/>
        <c:crosses val="autoZero"/>
        <c:auto val="1"/>
        <c:lblAlgn val="ctr"/>
        <c:lblOffset val="100"/>
        <c:noMultiLvlLbl val="0"/>
      </c:catAx>
      <c:valAx>
        <c:axId val="2949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93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5</xdr:col>
      <xdr:colOff>352425</xdr:colOff>
      <xdr:row>9</xdr:row>
      <xdr:rowOff>19411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2F3DC3-0DF0-4A5B-9A56-D9F92295E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6115050" cy="17243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21</xdr:col>
      <xdr:colOff>142875</xdr:colOff>
      <xdr:row>12</xdr:row>
      <xdr:rowOff>37491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74C5FA-06A7-4BB7-822F-98CE1732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305549" cy="23234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6</xdr:col>
      <xdr:colOff>95251</xdr:colOff>
      <xdr:row>10</xdr:row>
      <xdr:rowOff>140127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59334B-710E-45D3-97B5-779DA9C6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6419850" cy="20451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577438</xdr:colOff>
      <xdr:row>7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F34FC6-9EFA-4028-98FF-A043C7E13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7113" cy="1485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104775</xdr:rowOff>
    </xdr:from>
    <xdr:to>
      <xdr:col>2</xdr:col>
      <xdr:colOff>536063</xdr:colOff>
      <xdr:row>17</xdr:row>
      <xdr:rowOff>18981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240359-BF27-4834-BF7A-CD92FD3E5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1775"/>
          <a:ext cx="2060063" cy="485706"/>
        </a:xfrm>
        <a:prstGeom prst="rect">
          <a:avLst/>
        </a:prstGeom>
      </xdr:spPr>
    </xdr:pic>
    <xdr:clientData/>
  </xdr:twoCellAnchor>
  <xdr:twoCellAnchor editAs="oneCell">
    <xdr:from>
      <xdr:col>6</xdr:col>
      <xdr:colOff>10503</xdr:colOff>
      <xdr:row>14</xdr:row>
      <xdr:rowOff>19050</xdr:rowOff>
    </xdr:from>
    <xdr:to>
      <xdr:col>6</xdr:col>
      <xdr:colOff>585620</xdr:colOff>
      <xdr:row>16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36CBCF-47D8-48E1-B935-825136700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2503" y="2733675"/>
          <a:ext cx="575117" cy="5048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9</xdr:row>
      <xdr:rowOff>180975</xdr:rowOff>
    </xdr:from>
    <xdr:to>
      <xdr:col>9</xdr:col>
      <xdr:colOff>238125</xdr:colOff>
      <xdr:row>19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B8EB47-FEB6-4A10-A871-76A23327D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414337</xdr:colOff>
      <xdr:row>6</xdr:row>
      <xdr:rowOff>157162</xdr:rowOff>
    </xdr:from>
    <xdr:to>
      <xdr:col>15</xdr:col>
      <xdr:colOff>414337</xdr:colOff>
      <xdr:row>21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78CA78-8152-4AA9-B5D6-668525C3A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157162</xdr:colOff>
      <xdr:row>22</xdr:row>
      <xdr:rowOff>109537</xdr:rowOff>
    </xdr:from>
    <xdr:to>
      <xdr:col>8</xdr:col>
      <xdr:colOff>157162</xdr:colOff>
      <xdr:row>36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BA6668-B78D-4AD1-978D-800A56BB9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85725</xdr:rowOff>
    </xdr:from>
    <xdr:to>
      <xdr:col>6</xdr:col>
      <xdr:colOff>676275</xdr:colOff>
      <xdr:row>5</xdr:row>
      <xdr:rowOff>28575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1898896-F716-4461-B4E6-58AB7BA45350}"/>
            </a:ext>
          </a:extLst>
        </xdr:cNvPr>
        <xdr:cNvSpPr txBox="1"/>
      </xdr:nvSpPr>
      <xdr:spPr>
        <a:xfrm>
          <a:off x="114300" y="85725"/>
          <a:ext cx="5133975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Los</a:t>
          </a:r>
          <a:r>
            <a:rPr lang="es-CO" sz="1100" baseline="0"/>
            <a:t> siguientes datos corresponden al tiempo (minutos) que han necesitado 20 clientes de un banco para llevar a cabo una transacción bancaria.</a:t>
          </a:r>
        </a:p>
        <a:p>
          <a:r>
            <a:rPr lang="es-CO" sz="1100" baseline="0"/>
            <a:t>Se pide elaborar: a) Una tabla de frecuencias</a:t>
          </a:r>
        </a:p>
        <a:p>
          <a:r>
            <a:rPr lang="es-CO" sz="1100" baseline="0"/>
            <a:t>                               b) Histograma y el polígono en una sola gráfica.</a:t>
          </a:r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ECF5-DDB5-4425-A20B-D65D969D2ADB}">
  <dimension ref="A12:B16"/>
  <sheetViews>
    <sheetView tabSelected="1" workbookViewId="0">
      <selection activeCell="B12" sqref="B12"/>
    </sheetView>
  </sheetViews>
  <sheetFormatPr baseColWidth="10" defaultRowHeight="14.4" x14ac:dyDescent="0.3"/>
  <cols>
    <col min="2" max="2" width="40.88671875" customWidth="1"/>
  </cols>
  <sheetData>
    <row r="12" spans="1:2" x14ac:dyDescent="0.3">
      <c r="A12" s="5" t="s">
        <v>9</v>
      </c>
      <c r="B12" s="8"/>
    </row>
    <row r="13" spans="1:2" x14ac:dyDescent="0.3">
      <c r="A13" s="5" t="s">
        <v>10</v>
      </c>
      <c r="B13" s="8"/>
    </row>
    <row r="14" spans="1:2" x14ac:dyDescent="0.3">
      <c r="A14" s="5" t="s">
        <v>11</v>
      </c>
      <c r="B14" s="8"/>
    </row>
    <row r="15" spans="1:2" x14ac:dyDescent="0.3">
      <c r="A15" s="5" t="s">
        <v>12</v>
      </c>
      <c r="B15" s="8"/>
    </row>
    <row r="16" spans="1:2" x14ac:dyDescent="0.3">
      <c r="A16" s="5" t="s">
        <v>13</v>
      </c>
      <c r="B16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88B2-8811-4E84-8DE0-8B1972162057}">
  <dimension ref="A2:AF24"/>
  <sheetViews>
    <sheetView workbookViewId="0">
      <selection activeCell="X2" sqref="X2:AE2"/>
    </sheetView>
  </sheetViews>
  <sheetFormatPr baseColWidth="10" defaultRowHeight="14.4" x14ac:dyDescent="0.3"/>
  <cols>
    <col min="3" max="3" width="3.88671875" customWidth="1"/>
    <col min="4" max="4" width="3.5546875" customWidth="1"/>
    <col min="5" max="5" width="3.44140625" customWidth="1"/>
    <col min="6" max="6" width="3" customWidth="1"/>
    <col min="7" max="7" width="3.33203125" customWidth="1"/>
    <col min="8" max="8" width="3.44140625" customWidth="1"/>
    <col min="9" max="9" width="3.88671875" customWidth="1"/>
    <col min="10" max="10" width="3.6640625" customWidth="1"/>
    <col min="11" max="11" width="3.44140625" customWidth="1"/>
    <col min="12" max="12" width="3" customWidth="1"/>
    <col min="13" max="13" width="3.44140625" customWidth="1"/>
    <col min="14" max="14" width="3.88671875" customWidth="1"/>
    <col min="15" max="15" width="3.6640625" customWidth="1"/>
    <col min="16" max="16" width="4" customWidth="1"/>
    <col min="17" max="17" width="3.88671875" customWidth="1"/>
    <col min="18" max="18" width="3.5546875" customWidth="1"/>
    <col min="19" max="19" width="4" customWidth="1"/>
    <col min="20" max="20" width="3.6640625" customWidth="1"/>
    <col min="21" max="21" width="4.88671875" customWidth="1"/>
    <col min="22" max="22" width="4.109375" customWidth="1"/>
    <col min="23" max="23" width="4.44140625" customWidth="1"/>
    <col min="24" max="24" width="4.33203125" customWidth="1"/>
    <col min="25" max="25" width="4.6640625" customWidth="1"/>
    <col min="26" max="26" width="4.33203125" customWidth="1"/>
    <col min="27" max="27" width="4" customWidth="1"/>
    <col min="28" max="28" width="3.44140625" customWidth="1"/>
    <col min="29" max="29" width="4" customWidth="1"/>
    <col min="30" max="30" width="4.109375" customWidth="1"/>
    <col min="31" max="31" width="5.33203125" customWidth="1"/>
    <col min="32" max="32" width="4.44140625" customWidth="1"/>
  </cols>
  <sheetData>
    <row r="2" spans="1:32" x14ac:dyDescent="0.3">
      <c r="W2" s="5" t="s">
        <v>9</v>
      </c>
      <c r="X2" s="34"/>
      <c r="Y2" s="34"/>
      <c r="Z2" s="34"/>
      <c r="AA2" s="34"/>
      <c r="AB2" s="34"/>
      <c r="AC2" s="34"/>
      <c r="AD2" s="34"/>
      <c r="AE2" s="34"/>
    </row>
    <row r="3" spans="1:32" x14ac:dyDescent="0.3">
      <c r="W3" s="5" t="s">
        <v>10</v>
      </c>
      <c r="X3" s="34"/>
      <c r="Y3" s="34"/>
      <c r="Z3" s="34"/>
      <c r="AA3" s="34"/>
      <c r="AB3" s="34"/>
      <c r="AC3" s="34"/>
      <c r="AD3" s="34"/>
      <c r="AE3" s="34"/>
    </row>
    <row r="4" spans="1:32" x14ac:dyDescent="0.3">
      <c r="W4" s="5" t="s">
        <v>11</v>
      </c>
      <c r="X4" s="34"/>
      <c r="Y4" s="34"/>
      <c r="Z4" s="34"/>
      <c r="AA4" s="34"/>
      <c r="AB4" s="34"/>
      <c r="AC4" s="34"/>
      <c r="AD4" s="34"/>
      <c r="AE4" s="34"/>
    </row>
    <row r="5" spans="1:32" x14ac:dyDescent="0.3">
      <c r="W5" s="5" t="s">
        <v>12</v>
      </c>
      <c r="X5" s="34"/>
      <c r="Y5" s="34"/>
      <c r="Z5" s="34"/>
      <c r="AA5" s="34"/>
      <c r="AB5" s="34"/>
      <c r="AC5" s="34"/>
      <c r="AD5" s="34"/>
      <c r="AE5" s="34"/>
    </row>
    <row r="6" spans="1:32" x14ac:dyDescent="0.3">
      <c r="W6" s="5" t="s">
        <v>13</v>
      </c>
      <c r="X6" s="34"/>
      <c r="Y6" s="34"/>
      <c r="Z6" s="34"/>
      <c r="AA6" s="34"/>
      <c r="AB6" s="34"/>
      <c r="AC6" s="34"/>
      <c r="AD6" s="34"/>
      <c r="AE6" s="34"/>
    </row>
    <row r="7" spans="1:32" x14ac:dyDescent="0.3">
      <c r="W7" s="5" t="s">
        <v>15</v>
      </c>
      <c r="X7" s="34"/>
      <c r="Y7" s="34"/>
      <c r="Z7" s="34"/>
      <c r="AA7" s="34"/>
      <c r="AB7" s="34"/>
      <c r="AC7" s="34"/>
      <c r="AD7" s="34"/>
      <c r="AE7" s="34"/>
    </row>
    <row r="14" spans="1:32" x14ac:dyDescent="0.3">
      <c r="A14" s="9" t="s">
        <v>14</v>
      </c>
    </row>
    <row r="15" spans="1:32" x14ac:dyDescent="0.3">
      <c r="A15" s="5">
        <v>1</v>
      </c>
      <c r="C15" s="10">
        <v>2</v>
      </c>
      <c r="D15" s="10">
        <v>6</v>
      </c>
      <c r="E15" s="10">
        <v>8</v>
      </c>
      <c r="F15" s="10">
        <v>7</v>
      </c>
      <c r="G15" s="10">
        <v>4</v>
      </c>
      <c r="H15" s="10">
        <v>5</v>
      </c>
      <c r="I15" s="10">
        <v>10</v>
      </c>
      <c r="J15" s="10">
        <v>6</v>
      </c>
      <c r="K15" s="10">
        <v>6</v>
      </c>
      <c r="L15" s="10">
        <v>7</v>
      </c>
      <c r="M15" s="10">
        <v>6</v>
      </c>
      <c r="N15" s="10">
        <v>7</v>
      </c>
      <c r="O15" s="10">
        <v>3</v>
      </c>
      <c r="P15" s="10">
        <v>8</v>
      </c>
      <c r="Q15" s="10">
        <v>7</v>
      </c>
      <c r="R15" s="10">
        <v>6</v>
      </c>
      <c r="S15" s="10">
        <v>8</v>
      </c>
      <c r="T15" s="10">
        <v>6</v>
      </c>
      <c r="U15" s="10">
        <v>5</v>
      </c>
      <c r="V15" s="10">
        <v>4</v>
      </c>
      <c r="W15" s="10">
        <v>7</v>
      </c>
      <c r="X15" s="10">
        <v>8</v>
      </c>
      <c r="Y15" s="10">
        <v>5</v>
      </c>
      <c r="Z15" s="10">
        <v>7</v>
      </c>
      <c r="AA15" s="10">
        <v>6</v>
      </c>
      <c r="AB15" s="10">
        <v>7</v>
      </c>
      <c r="AC15" s="10">
        <v>2</v>
      </c>
      <c r="AD15" s="10">
        <v>7</v>
      </c>
      <c r="AE15" s="10">
        <v>2</v>
      </c>
      <c r="AF15" s="10">
        <v>7</v>
      </c>
    </row>
    <row r="16" spans="1:32" x14ac:dyDescent="0.3">
      <c r="A16" s="5">
        <v>2</v>
      </c>
    </row>
    <row r="17" spans="1:1" x14ac:dyDescent="0.3">
      <c r="A17" s="5">
        <v>3</v>
      </c>
    </row>
    <row r="18" spans="1:1" x14ac:dyDescent="0.3">
      <c r="A18" s="5">
        <v>4</v>
      </c>
    </row>
    <row r="19" spans="1:1" x14ac:dyDescent="0.3">
      <c r="A19" s="5">
        <v>5</v>
      </c>
    </row>
    <row r="20" spans="1:1" x14ac:dyDescent="0.3">
      <c r="A20" s="5">
        <v>6</v>
      </c>
    </row>
    <row r="21" spans="1:1" x14ac:dyDescent="0.3">
      <c r="A21" s="5">
        <v>7</v>
      </c>
    </row>
    <row r="22" spans="1:1" x14ac:dyDescent="0.3">
      <c r="A22" s="5">
        <v>8</v>
      </c>
    </row>
    <row r="23" spans="1:1" x14ac:dyDescent="0.3">
      <c r="A23" s="5">
        <v>9</v>
      </c>
    </row>
    <row r="24" spans="1:1" x14ac:dyDescent="0.3">
      <c r="A24" s="5">
        <v>10</v>
      </c>
    </row>
  </sheetData>
  <sortState xmlns:xlrd2="http://schemas.microsoft.com/office/spreadsheetml/2017/richdata2" ref="C18:C27">
    <sortCondition ref="C18"/>
  </sortState>
  <mergeCells count="6">
    <mergeCell ref="X7:AE7"/>
    <mergeCell ref="X2:AE2"/>
    <mergeCell ref="X3:AE3"/>
    <mergeCell ref="X4:AE4"/>
    <mergeCell ref="X5:AE5"/>
    <mergeCell ref="X6:AE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B32E-A27F-4C1C-A116-6BD15DB1EBCC}">
  <dimension ref="A12:B18"/>
  <sheetViews>
    <sheetView workbookViewId="0">
      <selection activeCell="B12" sqref="B12"/>
    </sheetView>
  </sheetViews>
  <sheetFormatPr baseColWidth="10" defaultRowHeight="14.4" x14ac:dyDescent="0.3"/>
  <cols>
    <col min="2" max="2" width="37.6640625" customWidth="1"/>
  </cols>
  <sheetData>
    <row r="12" spans="1:2" x14ac:dyDescent="0.3">
      <c r="A12" s="5" t="s">
        <v>9</v>
      </c>
      <c r="B12" s="8"/>
    </row>
    <row r="13" spans="1:2" x14ac:dyDescent="0.3">
      <c r="A13" s="5" t="s">
        <v>10</v>
      </c>
      <c r="B13" s="8"/>
    </row>
    <row r="14" spans="1:2" x14ac:dyDescent="0.3">
      <c r="A14" s="5" t="s">
        <v>11</v>
      </c>
      <c r="B14" s="8"/>
    </row>
    <row r="15" spans="1:2" x14ac:dyDescent="0.3">
      <c r="A15" s="5" t="s">
        <v>12</v>
      </c>
      <c r="B15" s="8"/>
    </row>
    <row r="16" spans="1:2" x14ac:dyDescent="0.3">
      <c r="A16" s="5" t="s">
        <v>13</v>
      </c>
      <c r="B16" s="8"/>
    </row>
    <row r="17" spans="1:2" x14ac:dyDescent="0.3">
      <c r="A17" s="5" t="s">
        <v>15</v>
      </c>
      <c r="B17" s="8"/>
    </row>
    <row r="18" spans="1:2" x14ac:dyDescent="0.3">
      <c r="A18" s="5" t="s">
        <v>16</v>
      </c>
      <c r="B18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BD77-5CD8-4DEB-A2E6-AF287473034A}">
  <dimension ref="A1:I19"/>
  <sheetViews>
    <sheetView workbookViewId="0">
      <selection activeCell="K14" sqref="K14"/>
    </sheetView>
  </sheetViews>
  <sheetFormatPr baseColWidth="10" defaultRowHeight="14.4" x14ac:dyDescent="0.3"/>
  <cols>
    <col min="2" max="3" width="13.33203125" customWidth="1"/>
    <col min="4" max="4" width="11.33203125" customWidth="1"/>
    <col min="5" max="5" width="12.6640625" customWidth="1"/>
    <col min="6" max="6" width="11.6640625" customWidth="1"/>
  </cols>
  <sheetData>
    <row r="1" spans="1:8" ht="30" customHeight="1" x14ac:dyDescent="0.3">
      <c r="A1" s="1" t="s">
        <v>3</v>
      </c>
      <c r="D1" s="1"/>
      <c r="E1" s="1"/>
      <c r="F1" s="1"/>
      <c r="G1" s="1"/>
    </row>
    <row r="2" spans="1:8" ht="28.8" x14ac:dyDescent="0.3">
      <c r="A2" s="3" t="s">
        <v>0</v>
      </c>
      <c r="B2" s="4" t="s">
        <v>2</v>
      </c>
      <c r="C2" s="4" t="s">
        <v>1</v>
      </c>
      <c r="F2" s="35" t="s">
        <v>4</v>
      </c>
      <c r="G2" s="36"/>
      <c r="H2" s="36"/>
    </row>
    <row r="3" spans="1:8" x14ac:dyDescent="0.3">
      <c r="A3" s="5">
        <v>2013</v>
      </c>
      <c r="B3" s="5">
        <v>260</v>
      </c>
      <c r="C3" s="5">
        <v>110</v>
      </c>
    </row>
    <row r="4" spans="1:8" x14ac:dyDescent="0.3">
      <c r="A4" s="5">
        <v>2014</v>
      </c>
      <c r="B4" s="5">
        <v>380</v>
      </c>
      <c r="C4" s="5">
        <v>200</v>
      </c>
    </row>
    <row r="5" spans="1:8" x14ac:dyDescent="0.3">
      <c r="A5" s="5">
        <v>2015</v>
      </c>
      <c r="B5" s="5">
        <v>300</v>
      </c>
      <c r="C5" s="5">
        <v>150</v>
      </c>
    </row>
    <row r="6" spans="1:8" x14ac:dyDescent="0.3">
      <c r="A6" s="5">
        <v>2016</v>
      </c>
      <c r="B6" s="5">
        <v>620</v>
      </c>
      <c r="C6" s="5">
        <v>420</v>
      </c>
    </row>
    <row r="7" spans="1:8" x14ac:dyDescent="0.3">
      <c r="A7" s="5">
        <v>2017</v>
      </c>
      <c r="B7" s="5">
        <v>470</v>
      </c>
      <c r="C7" s="5">
        <v>360</v>
      </c>
    </row>
    <row r="8" spans="1:8" x14ac:dyDescent="0.3">
      <c r="A8" s="5">
        <v>2018</v>
      </c>
      <c r="B8" s="5">
        <v>720</v>
      </c>
      <c r="C8" s="5">
        <v>510</v>
      </c>
    </row>
    <row r="9" spans="1:8" x14ac:dyDescent="0.3">
      <c r="A9" s="5">
        <v>2019</v>
      </c>
      <c r="B9" s="5">
        <v>870</v>
      </c>
      <c r="C9" s="5">
        <v>620</v>
      </c>
    </row>
    <row r="19" spans="5:9" ht="15" customHeight="1" x14ac:dyDescent="0.3">
      <c r="E19" s="37" t="s">
        <v>5</v>
      </c>
      <c r="F19" s="37"/>
      <c r="G19" s="37"/>
      <c r="H19" s="37"/>
      <c r="I19" s="37"/>
    </row>
  </sheetData>
  <mergeCells count="2">
    <mergeCell ref="F2:H2"/>
    <mergeCell ref="E19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4D58-CD4E-4168-8B9F-38CE5B6C5648}">
  <dimension ref="A12:G14"/>
  <sheetViews>
    <sheetView workbookViewId="0">
      <selection activeCell="J12" sqref="J12"/>
    </sheetView>
  </sheetViews>
  <sheetFormatPr baseColWidth="10" defaultRowHeight="14.4" x14ac:dyDescent="0.3"/>
  <cols>
    <col min="1" max="1" width="14.33203125" customWidth="1"/>
    <col min="4" max="4" width="15.33203125" customWidth="1"/>
  </cols>
  <sheetData>
    <row r="12" spans="1:7" x14ac:dyDescent="0.3">
      <c r="A12" s="12" t="s">
        <v>20</v>
      </c>
      <c r="B12" s="11">
        <v>236</v>
      </c>
      <c r="E12" s="38" t="s">
        <v>17</v>
      </c>
      <c r="F12" s="38"/>
      <c r="G12" s="5">
        <v>1060</v>
      </c>
    </row>
    <row r="13" spans="1:7" x14ac:dyDescent="0.3">
      <c r="A13" s="12" t="s">
        <v>21</v>
      </c>
      <c r="B13" s="11">
        <v>212</v>
      </c>
      <c r="E13" s="38" t="s">
        <v>18</v>
      </c>
      <c r="F13" s="38"/>
      <c r="G13" s="5">
        <v>38</v>
      </c>
    </row>
    <row r="14" spans="1:7" x14ac:dyDescent="0.3">
      <c r="A14" s="12" t="s">
        <v>22</v>
      </c>
      <c r="B14" s="11">
        <v>85</v>
      </c>
      <c r="E14" s="38" t="s">
        <v>19</v>
      </c>
      <c r="F14" s="38"/>
      <c r="G14" s="5">
        <v>37</v>
      </c>
    </row>
  </sheetData>
  <mergeCells count="3">
    <mergeCell ref="E12:F12"/>
    <mergeCell ref="E13:F13"/>
    <mergeCell ref="E14:F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7C50-B509-4E44-B3B0-2FFC4B5056CB}">
  <dimension ref="A1:F18"/>
  <sheetViews>
    <sheetView workbookViewId="0">
      <selection activeCell="G23" sqref="G23"/>
    </sheetView>
  </sheetViews>
  <sheetFormatPr baseColWidth="10" defaultRowHeight="14.4" x14ac:dyDescent="0.3"/>
  <cols>
    <col min="1" max="1" width="22.88671875" customWidth="1"/>
    <col min="2" max="3" width="15.5546875" bestFit="1" customWidth="1"/>
  </cols>
  <sheetData>
    <row r="1" spans="1:6" x14ac:dyDescent="0.3">
      <c r="A1" s="36" t="s">
        <v>24</v>
      </c>
      <c r="B1" s="36"/>
      <c r="C1" s="36"/>
      <c r="D1" s="36"/>
    </row>
    <row r="3" spans="1:6" x14ac:dyDescent="0.3">
      <c r="A3" s="14" t="s">
        <v>0</v>
      </c>
      <c r="B3" s="14">
        <v>2015</v>
      </c>
      <c r="C3" s="14">
        <v>2016</v>
      </c>
      <c r="D3" s="14">
        <v>2017</v>
      </c>
      <c r="E3" s="14">
        <v>2018</v>
      </c>
      <c r="F3" s="14">
        <v>2019</v>
      </c>
    </row>
    <row r="4" spans="1:6" x14ac:dyDescent="0.3">
      <c r="A4" s="11" t="s">
        <v>23</v>
      </c>
      <c r="B4" s="11">
        <v>380</v>
      </c>
      <c r="C4" s="11">
        <v>450</v>
      </c>
      <c r="D4" s="11">
        <v>700</v>
      </c>
      <c r="E4" s="11">
        <v>500</v>
      </c>
      <c r="F4" s="11">
        <v>650</v>
      </c>
    </row>
    <row r="5" spans="1:6" x14ac:dyDescent="0.3">
      <c r="A5" s="11" t="s">
        <v>25</v>
      </c>
      <c r="B5" s="11">
        <v>260</v>
      </c>
      <c r="C5" s="11">
        <v>350</v>
      </c>
      <c r="D5" s="11">
        <v>600</v>
      </c>
      <c r="E5" s="11">
        <v>520</v>
      </c>
      <c r="F5" s="11">
        <v>610</v>
      </c>
    </row>
    <row r="9" spans="1:6" x14ac:dyDescent="0.3">
      <c r="A9" t="s">
        <v>26</v>
      </c>
    </row>
    <row r="11" spans="1:6" x14ac:dyDescent="0.3">
      <c r="A11" s="13" t="s">
        <v>27</v>
      </c>
      <c r="B11" s="13">
        <v>2018</v>
      </c>
      <c r="C11" s="13">
        <v>2019</v>
      </c>
      <c r="D11" s="13" t="s">
        <v>33</v>
      </c>
    </row>
    <row r="12" spans="1:6" x14ac:dyDescent="0.3">
      <c r="A12" s="11" t="s">
        <v>28</v>
      </c>
      <c r="B12" s="16">
        <v>12500000</v>
      </c>
      <c r="C12" s="16">
        <v>11300000</v>
      </c>
      <c r="D12" s="15">
        <f>(C12-B12)/B12</f>
        <v>-9.6000000000000002E-2</v>
      </c>
    </row>
    <row r="13" spans="1:6" x14ac:dyDescent="0.3">
      <c r="A13" s="11" t="s">
        <v>29</v>
      </c>
      <c r="B13" s="16">
        <v>1700000</v>
      </c>
      <c r="C13" s="16">
        <v>1100000</v>
      </c>
      <c r="D13" s="15">
        <f t="shared" ref="D13:D16" si="0">(C13-B13)/B13</f>
        <v>-0.35294117647058826</v>
      </c>
    </row>
    <row r="14" spans="1:6" x14ac:dyDescent="0.3">
      <c r="A14" s="11" t="s">
        <v>30</v>
      </c>
      <c r="B14" s="16">
        <v>250000</v>
      </c>
      <c r="C14" s="16">
        <v>350000</v>
      </c>
      <c r="D14" s="15">
        <f t="shared" si="0"/>
        <v>0.4</v>
      </c>
    </row>
    <row r="15" spans="1:6" x14ac:dyDescent="0.3">
      <c r="A15" s="11" t="s">
        <v>31</v>
      </c>
      <c r="B15" s="16">
        <v>1200000</v>
      </c>
      <c r="C15" s="16">
        <v>1500000</v>
      </c>
      <c r="D15" s="15">
        <f t="shared" si="0"/>
        <v>0.25</v>
      </c>
    </row>
    <row r="16" spans="1:6" x14ac:dyDescent="0.3">
      <c r="A16" s="11" t="s">
        <v>32</v>
      </c>
      <c r="B16" s="16">
        <v>300000</v>
      </c>
      <c r="C16" s="16">
        <v>410000</v>
      </c>
      <c r="D16" s="15">
        <f t="shared" si="0"/>
        <v>0.36666666666666664</v>
      </c>
    </row>
    <row r="18" spans="1:5" x14ac:dyDescent="0.3">
      <c r="A18" s="39" t="s">
        <v>34</v>
      </c>
      <c r="B18" s="39"/>
      <c r="C18" s="39"/>
      <c r="D18" s="39"/>
      <c r="E18" s="39"/>
    </row>
  </sheetData>
  <mergeCells count="2">
    <mergeCell ref="A1:D1"/>
    <mergeCell ref="A18:E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DFF4-3846-492C-AB0C-5A57C79C983E}">
  <dimension ref="A1:I19"/>
  <sheetViews>
    <sheetView workbookViewId="0">
      <selection activeCell="J8" sqref="J8"/>
    </sheetView>
  </sheetViews>
  <sheetFormatPr baseColWidth="10" defaultRowHeight="14.4" x14ac:dyDescent="0.3"/>
  <sheetData>
    <row r="1" spans="1:9" x14ac:dyDescent="0.3">
      <c r="A1">
        <v>50.332651753288367</v>
      </c>
      <c r="B1">
        <v>63.820307016205334</v>
      </c>
      <c r="C1">
        <v>81.627857295449687</v>
      </c>
      <c r="D1">
        <v>73.192541276284061</v>
      </c>
      <c r="E1">
        <v>79.145176549577315</v>
      </c>
      <c r="F1">
        <v>97.546311838129824</v>
      </c>
      <c r="H1" t="s">
        <v>39</v>
      </c>
      <c r="I1" t="s">
        <v>40</v>
      </c>
    </row>
    <row r="2" spans="1:9" x14ac:dyDescent="0.3">
      <c r="A2">
        <v>73.972289193395795</v>
      </c>
      <c r="B2">
        <v>53.596606341746266</v>
      </c>
      <c r="C2">
        <v>51.652577288125251</v>
      </c>
      <c r="D2">
        <v>80.744346446119565</v>
      </c>
      <c r="E2">
        <v>96.51936399426252</v>
      </c>
      <c r="F2">
        <v>96.575823236793113</v>
      </c>
    </row>
    <row r="3" spans="1:9" x14ac:dyDescent="0.3">
      <c r="A3">
        <v>59.710989715262308</v>
      </c>
      <c r="B3">
        <v>89.053010650959806</v>
      </c>
      <c r="C3">
        <v>93.778801843317979</v>
      </c>
      <c r="D3">
        <v>79.364909817804488</v>
      </c>
      <c r="E3">
        <v>64.304025391399875</v>
      </c>
      <c r="F3">
        <v>86.414685506759838</v>
      </c>
    </row>
    <row r="4" spans="1:9" x14ac:dyDescent="0.3">
      <c r="A4">
        <v>58.212530899990846</v>
      </c>
      <c r="B4">
        <v>36.670430616168701</v>
      </c>
      <c r="C4">
        <v>90.035706656086916</v>
      </c>
      <c r="D4">
        <v>97.874385814996799</v>
      </c>
      <c r="E4">
        <v>93.139439069795827</v>
      </c>
      <c r="F4">
        <v>78.218939786980798</v>
      </c>
    </row>
    <row r="5" spans="1:9" x14ac:dyDescent="0.3">
      <c r="A5">
        <v>53.694265572069462</v>
      </c>
      <c r="B5">
        <v>80.109561449018827</v>
      </c>
      <c r="C5">
        <v>82.354197820978428</v>
      </c>
      <c r="D5">
        <v>86.114078188421274</v>
      </c>
      <c r="E5">
        <v>33.482161931211301</v>
      </c>
      <c r="F5">
        <v>60.036011841181676</v>
      </c>
    </row>
    <row r="6" spans="1:9" x14ac:dyDescent="0.3">
      <c r="A6">
        <v>55.581835383159884</v>
      </c>
      <c r="B6">
        <v>32.7672963652455</v>
      </c>
      <c r="C6">
        <v>70.421460615863523</v>
      </c>
      <c r="D6">
        <v>86.796166875209821</v>
      </c>
      <c r="E6">
        <v>63.765373699148533</v>
      </c>
      <c r="F6">
        <v>71.256141850032037</v>
      </c>
    </row>
    <row r="7" spans="1:9" x14ac:dyDescent="0.3">
      <c r="A7">
        <v>58.554338206122011</v>
      </c>
      <c r="B7">
        <v>31.426068910794399</v>
      </c>
      <c r="C7">
        <v>53.292947172460096</v>
      </c>
      <c r="D7">
        <v>58.902249214148384</v>
      </c>
      <c r="E7">
        <v>75.464644306772058</v>
      </c>
      <c r="F7">
        <v>81.543931394390697</v>
      </c>
    </row>
    <row r="8" spans="1:9" x14ac:dyDescent="0.3">
      <c r="A8">
        <v>53.210547196874906</v>
      </c>
      <c r="B8">
        <v>71.877193517868591</v>
      </c>
      <c r="C8">
        <v>79.696035645619077</v>
      </c>
      <c r="D8">
        <v>95.339823603015219</v>
      </c>
      <c r="E8">
        <v>64.491714224677267</v>
      </c>
      <c r="F8">
        <v>83.663441877498698</v>
      </c>
    </row>
    <row r="9" spans="1:9" x14ac:dyDescent="0.3">
      <c r="A9">
        <v>96.629230628376121</v>
      </c>
      <c r="B9">
        <v>70.195623645741136</v>
      </c>
      <c r="C9">
        <v>65.401165807061986</v>
      </c>
      <c r="D9">
        <v>97.169408246101256</v>
      </c>
      <c r="E9">
        <v>79.371013519699687</v>
      </c>
      <c r="F9">
        <v>86.262092959379856</v>
      </c>
    </row>
    <row r="10" spans="1:9" x14ac:dyDescent="0.3">
      <c r="A10">
        <v>72.064882351145968</v>
      </c>
      <c r="B10">
        <v>69.325846125675227</v>
      </c>
      <c r="C10">
        <v>66.241950743125699</v>
      </c>
      <c r="D10">
        <v>76.268807031464576</v>
      </c>
      <c r="E10">
        <v>68.248542741172514</v>
      </c>
      <c r="F10">
        <v>77.959532456434829</v>
      </c>
    </row>
    <row r="12" spans="1:9" ht="18" x14ac:dyDescent="0.35">
      <c r="A12" s="41" t="s">
        <v>35</v>
      </c>
      <c r="B12" s="41"/>
      <c r="C12" s="2"/>
      <c r="D12" s="2" t="s">
        <v>42</v>
      </c>
      <c r="E12" s="2" t="s">
        <v>36</v>
      </c>
      <c r="F12" s="2" t="s">
        <v>37</v>
      </c>
      <c r="G12" s="19" t="s">
        <v>38</v>
      </c>
      <c r="H12" s="19"/>
    </row>
    <row r="13" spans="1:9" x14ac:dyDescent="0.3">
      <c r="A13" s="2"/>
      <c r="B13" s="2"/>
      <c r="C13" s="2"/>
      <c r="D13" s="2"/>
      <c r="E13" s="2"/>
      <c r="F13" s="2"/>
      <c r="G13" s="36"/>
      <c r="H13" s="36"/>
    </row>
    <row r="14" spans="1:9" x14ac:dyDescent="0.3">
      <c r="A14" s="2"/>
      <c r="B14" s="2"/>
      <c r="C14" s="17">
        <f>B13</f>
        <v>0</v>
      </c>
      <c r="D14" s="2"/>
      <c r="E14" s="2"/>
      <c r="F14" s="2"/>
      <c r="G14" s="2"/>
      <c r="H14" s="18">
        <f>G13</f>
        <v>0</v>
      </c>
    </row>
    <row r="15" spans="1:9" x14ac:dyDescent="0.3">
      <c r="A15" s="2"/>
      <c r="B15" s="2"/>
      <c r="C15" s="20"/>
      <c r="D15" s="2"/>
      <c r="E15" s="2" t="s">
        <v>44</v>
      </c>
      <c r="F15" s="2">
        <f>F13-E13</f>
        <v>0</v>
      </c>
      <c r="G15" s="2"/>
      <c r="H15" s="21"/>
    </row>
    <row r="16" spans="1:9" x14ac:dyDescent="0.3">
      <c r="A16" s="2"/>
      <c r="B16" s="2"/>
      <c r="C16" s="20"/>
      <c r="D16" s="2"/>
      <c r="E16" s="2"/>
      <c r="F16" s="2"/>
      <c r="G16" s="2"/>
      <c r="H16" s="21"/>
    </row>
    <row r="17" spans="1:8" x14ac:dyDescent="0.3">
      <c r="A17" s="2"/>
      <c r="B17" s="2"/>
      <c r="C17" s="20"/>
      <c r="D17" s="2"/>
      <c r="E17" s="2"/>
      <c r="F17" s="2"/>
      <c r="G17" s="2"/>
      <c r="H17" s="21"/>
    </row>
    <row r="19" spans="1:8" x14ac:dyDescent="0.3">
      <c r="A19" s="40" t="s">
        <v>41</v>
      </c>
      <c r="B19" s="40"/>
      <c r="C19" s="40"/>
      <c r="D19" s="40"/>
      <c r="E19" s="40"/>
    </row>
  </sheetData>
  <mergeCells count="3">
    <mergeCell ref="A19:E19"/>
    <mergeCell ref="A12:B12"/>
    <mergeCell ref="G13:H1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D631-4B98-4EE3-B9EA-B222BAA0343F}">
  <dimension ref="A1:F18"/>
  <sheetViews>
    <sheetView topLeftCell="A5" workbookViewId="0">
      <selection activeCell="J24" sqref="J24"/>
    </sheetView>
  </sheetViews>
  <sheetFormatPr baseColWidth="10" defaultRowHeight="14.4" x14ac:dyDescent="0.3"/>
  <sheetData>
    <row r="1" spans="1:6" x14ac:dyDescent="0.3">
      <c r="A1" s="2">
        <v>84</v>
      </c>
      <c r="B1" s="2">
        <v>83</v>
      </c>
      <c r="C1" s="2">
        <v>77</v>
      </c>
      <c r="E1" t="s">
        <v>39</v>
      </c>
    </row>
    <row r="2" spans="1:6" x14ac:dyDescent="0.3">
      <c r="A2" s="2">
        <v>72</v>
      </c>
      <c r="B2" s="2">
        <v>32</v>
      </c>
      <c r="C2" s="2">
        <v>78</v>
      </c>
      <c r="F2" s="2">
        <v>0</v>
      </c>
    </row>
    <row r="3" spans="1:6" x14ac:dyDescent="0.3">
      <c r="A3" s="2">
        <v>51</v>
      </c>
      <c r="B3" s="2">
        <v>68</v>
      </c>
      <c r="C3" s="2">
        <v>58</v>
      </c>
      <c r="E3" s="2" t="s">
        <v>45</v>
      </c>
      <c r="F3" s="2">
        <v>40</v>
      </c>
    </row>
    <row r="4" spans="1:6" x14ac:dyDescent="0.3">
      <c r="A4" s="2">
        <v>45</v>
      </c>
      <c r="B4" s="2">
        <v>56</v>
      </c>
      <c r="C4" s="2">
        <v>41</v>
      </c>
      <c r="E4" s="2" t="s">
        <v>46</v>
      </c>
      <c r="F4" s="2">
        <v>50</v>
      </c>
    </row>
    <row r="5" spans="1:6" x14ac:dyDescent="0.3">
      <c r="A5" s="2">
        <v>67</v>
      </c>
      <c r="B5" s="2">
        <v>62</v>
      </c>
      <c r="C5" s="2">
        <v>55</v>
      </c>
      <c r="E5" s="2" t="s">
        <v>47</v>
      </c>
      <c r="F5" s="2">
        <v>60</v>
      </c>
    </row>
    <row r="6" spans="1:6" x14ac:dyDescent="0.3">
      <c r="A6" s="2">
        <v>47</v>
      </c>
      <c r="B6" s="2">
        <v>60</v>
      </c>
      <c r="C6" s="2">
        <v>36</v>
      </c>
      <c r="E6" s="2" t="s">
        <v>48</v>
      </c>
      <c r="F6" s="2">
        <v>70</v>
      </c>
    </row>
    <row r="7" spans="1:6" x14ac:dyDescent="0.3">
      <c r="A7" s="2">
        <v>61</v>
      </c>
      <c r="B7" s="2">
        <v>55</v>
      </c>
      <c r="C7" s="2">
        <v>64</v>
      </c>
      <c r="E7" s="2" t="s">
        <v>49</v>
      </c>
      <c r="F7" s="2">
        <v>80</v>
      </c>
    </row>
    <row r="8" spans="1:6" x14ac:dyDescent="0.3">
      <c r="E8" s="2" t="s">
        <v>50</v>
      </c>
      <c r="F8" s="2">
        <v>90</v>
      </c>
    </row>
    <row r="9" spans="1:6" ht="15" thickBot="1" x14ac:dyDescent="0.35"/>
    <row r="10" spans="1:6" x14ac:dyDescent="0.3">
      <c r="A10" s="7" t="s">
        <v>6</v>
      </c>
      <c r="B10" s="7" t="s">
        <v>8</v>
      </c>
    </row>
    <row r="11" spans="1:6" x14ac:dyDescent="0.3">
      <c r="A11">
        <v>0</v>
      </c>
      <c r="B11">
        <v>0</v>
      </c>
    </row>
    <row r="12" spans="1:6" x14ac:dyDescent="0.3">
      <c r="A12">
        <v>40</v>
      </c>
      <c r="B12">
        <v>2</v>
      </c>
    </row>
    <row r="13" spans="1:6" x14ac:dyDescent="0.3">
      <c r="A13">
        <v>50</v>
      </c>
      <c r="B13">
        <v>3</v>
      </c>
    </row>
    <row r="14" spans="1:6" x14ac:dyDescent="0.3">
      <c r="A14">
        <v>60</v>
      </c>
      <c r="B14">
        <v>6</v>
      </c>
    </row>
    <row r="15" spans="1:6" x14ac:dyDescent="0.3">
      <c r="A15">
        <v>70</v>
      </c>
      <c r="B15">
        <v>5</v>
      </c>
    </row>
    <row r="16" spans="1:6" x14ac:dyDescent="0.3">
      <c r="A16">
        <v>80</v>
      </c>
      <c r="B16">
        <v>3</v>
      </c>
    </row>
    <row r="17" spans="1:2" x14ac:dyDescent="0.3">
      <c r="A17">
        <v>90</v>
      </c>
      <c r="B17">
        <v>2</v>
      </c>
    </row>
    <row r="18" spans="1:2" ht="15" thickBot="1" x14ac:dyDescent="0.35">
      <c r="A18" s="6" t="s">
        <v>7</v>
      </c>
      <c r="B18" s="6">
        <v>0</v>
      </c>
    </row>
  </sheetData>
  <sortState xmlns:xlrd2="http://schemas.microsoft.com/office/spreadsheetml/2017/richdata2" ref="A11:A17">
    <sortCondition ref="A11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E329-8F41-4A12-A615-378C741AC959}">
  <dimension ref="A1:J101"/>
  <sheetViews>
    <sheetView workbookViewId="0">
      <selection activeCell="H13" sqref="H13"/>
    </sheetView>
  </sheetViews>
  <sheetFormatPr baseColWidth="10" defaultRowHeight="14.4" x14ac:dyDescent="0.3"/>
  <sheetData>
    <row r="1" spans="1:10" x14ac:dyDescent="0.3">
      <c r="A1" s="23" t="s">
        <v>43</v>
      </c>
      <c r="C1" s="36" t="s">
        <v>51</v>
      </c>
      <c r="D1" s="36"/>
      <c r="E1" s="36"/>
    </row>
    <row r="2" spans="1:10" x14ac:dyDescent="0.3">
      <c r="A2" s="22">
        <v>0</v>
      </c>
      <c r="D2" s="25"/>
      <c r="E2" s="25"/>
      <c r="F2" s="25"/>
      <c r="G2" s="25"/>
      <c r="H2" s="25"/>
      <c r="I2" s="25"/>
      <c r="J2" s="25"/>
    </row>
    <row r="3" spans="1:10" x14ac:dyDescent="0.3">
      <c r="A3" s="22">
        <v>2</v>
      </c>
      <c r="D3" s="2"/>
      <c r="E3" s="2"/>
      <c r="F3" s="2"/>
      <c r="G3" s="2"/>
      <c r="H3" s="2"/>
      <c r="I3" s="2"/>
      <c r="J3" s="2"/>
    </row>
    <row r="4" spans="1:10" x14ac:dyDescent="0.3">
      <c r="A4" s="22">
        <v>2</v>
      </c>
      <c r="D4" s="2"/>
      <c r="E4" s="2"/>
      <c r="F4" s="2"/>
      <c r="G4" s="2"/>
      <c r="H4" s="2"/>
      <c r="I4" s="2"/>
      <c r="J4" s="2"/>
    </row>
    <row r="5" spans="1:10" x14ac:dyDescent="0.3">
      <c r="A5" s="22">
        <v>4</v>
      </c>
      <c r="D5" s="2"/>
      <c r="E5" s="2"/>
      <c r="F5" s="2"/>
      <c r="G5" s="2"/>
      <c r="H5" s="2"/>
      <c r="I5" s="2"/>
      <c r="J5" s="2"/>
    </row>
    <row r="6" spans="1:10" x14ac:dyDescent="0.3">
      <c r="A6" s="22">
        <v>4</v>
      </c>
      <c r="D6" s="2"/>
      <c r="E6" s="2"/>
      <c r="F6" s="2"/>
      <c r="G6" s="2"/>
      <c r="H6" s="2"/>
      <c r="I6" s="2"/>
      <c r="J6" s="2"/>
    </row>
    <row r="7" spans="1:10" x14ac:dyDescent="0.3">
      <c r="A7" s="22">
        <v>5</v>
      </c>
      <c r="D7" s="2"/>
      <c r="E7" s="2"/>
      <c r="F7" s="2"/>
      <c r="G7" s="2"/>
      <c r="H7" s="2"/>
      <c r="I7" s="2"/>
      <c r="J7" s="2"/>
    </row>
    <row r="8" spans="1:10" x14ac:dyDescent="0.3">
      <c r="A8" s="22">
        <v>6</v>
      </c>
      <c r="D8" s="2"/>
      <c r="E8" s="2"/>
      <c r="F8" s="2"/>
      <c r="G8" s="2"/>
      <c r="H8" s="2"/>
      <c r="I8" s="2"/>
      <c r="J8" s="2"/>
    </row>
    <row r="9" spans="1:10" x14ac:dyDescent="0.3">
      <c r="A9" s="22">
        <v>2</v>
      </c>
      <c r="D9" s="2"/>
      <c r="E9" s="2"/>
      <c r="F9" s="2"/>
      <c r="G9" s="2"/>
      <c r="H9" s="2"/>
      <c r="I9" s="2"/>
      <c r="J9" s="2"/>
    </row>
    <row r="10" spans="1:10" x14ac:dyDescent="0.3">
      <c r="A10" s="22">
        <v>7</v>
      </c>
      <c r="D10" s="2"/>
      <c r="E10" s="2"/>
      <c r="F10" s="2"/>
      <c r="G10" s="2"/>
      <c r="H10" s="2"/>
      <c r="I10" s="2"/>
      <c r="J10" s="2"/>
    </row>
    <row r="11" spans="1:10" x14ac:dyDescent="0.3">
      <c r="A11" s="22">
        <v>4</v>
      </c>
      <c r="D11" s="2"/>
      <c r="E11" s="2"/>
      <c r="F11" s="2"/>
      <c r="G11" s="2"/>
      <c r="H11" s="2"/>
      <c r="I11" s="2"/>
      <c r="J11" s="2"/>
    </row>
    <row r="12" spans="1:10" x14ac:dyDescent="0.3">
      <c r="A12" s="22"/>
      <c r="D12" s="2"/>
      <c r="E12" s="2"/>
      <c r="F12" s="2"/>
      <c r="G12" s="2"/>
      <c r="H12" s="2"/>
      <c r="I12" s="2"/>
      <c r="J12" s="2"/>
    </row>
    <row r="13" spans="1:10" x14ac:dyDescent="0.3">
      <c r="A13" s="22">
        <v>7</v>
      </c>
    </row>
    <row r="14" spans="1:10" x14ac:dyDescent="0.3">
      <c r="A14" s="22">
        <v>2</v>
      </c>
    </row>
    <row r="15" spans="1:10" x14ac:dyDescent="0.3">
      <c r="A15" s="22">
        <v>2</v>
      </c>
    </row>
    <row r="16" spans="1:10" x14ac:dyDescent="0.3">
      <c r="A16" s="22">
        <v>3</v>
      </c>
    </row>
    <row r="17" spans="1:1" x14ac:dyDescent="0.3">
      <c r="A17" s="22">
        <v>0</v>
      </c>
    </row>
    <row r="18" spans="1:1" x14ac:dyDescent="0.3">
      <c r="A18" s="22">
        <v>8</v>
      </c>
    </row>
    <row r="19" spans="1:1" x14ac:dyDescent="0.3">
      <c r="A19" s="22">
        <v>0</v>
      </c>
    </row>
    <row r="20" spans="1:1" x14ac:dyDescent="0.3">
      <c r="A20" s="22">
        <v>7</v>
      </c>
    </row>
    <row r="21" spans="1:1" x14ac:dyDescent="0.3">
      <c r="A21" s="22">
        <v>0</v>
      </c>
    </row>
    <row r="22" spans="1:1" x14ac:dyDescent="0.3">
      <c r="A22" s="22">
        <v>8</v>
      </c>
    </row>
    <row r="23" spans="1:1" x14ac:dyDescent="0.3">
      <c r="A23" s="22">
        <v>0</v>
      </c>
    </row>
    <row r="24" spans="1:1" x14ac:dyDescent="0.3">
      <c r="A24" s="22">
        <v>0</v>
      </c>
    </row>
    <row r="25" spans="1:1" x14ac:dyDescent="0.3">
      <c r="A25" s="22">
        <v>1</v>
      </c>
    </row>
    <row r="26" spans="1:1" x14ac:dyDescent="0.3">
      <c r="A26" s="22">
        <v>6</v>
      </c>
    </row>
    <row r="27" spans="1:1" x14ac:dyDescent="0.3">
      <c r="A27" s="22">
        <v>1</v>
      </c>
    </row>
    <row r="28" spans="1:1" x14ac:dyDescent="0.3">
      <c r="A28" s="22">
        <v>7</v>
      </c>
    </row>
    <row r="29" spans="1:1" x14ac:dyDescent="0.3">
      <c r="A29" s="22">
        <v>3</v>
      </c>
    </row>
    <row r="30" spans="1:1" x14ac:dyDescent="0.3">
      <c r="A30" s="22">
        <v>1</v>
      </c>
    </row>
    <row r="31" spans="1:1" x14ac:dyDescent="0.3">
      <c r="A31" s="22">
        <v>4</v>
      </c>
    </row>
    <row r="32" spans="1:1" x14ac:dyDescent="0.3">
      <c r="A32" s="22">
        <v>5</v>
      </c>
    </row>
    <row r="33" spans="1:1" x14ac:dyDescent="0.3">
      <c r="A33" s="22">
        <v>8</v>
      </c>
    </row>
    <row r="34" spans="1:1" x14ac:dyDescent="0.3">
      <c r="A34" s="22">
        <v>5</v>
      </c>
    </row>
    <row r="35" spans="1:1" x14ac:dyDescent="0.3">
      <c r="A35" s="22">
        <v>3</v>
      </c>
    </row>
    <row r="36" spans="1:1" x14ac:dyDescent="0.3">
      <c r="A36" s="22">
        <v>6</v>
      </c>
    </row>
    <row r="37" spans="1:1" x14ac:dyDescent="0.3">
      <c r="A37" s="22">
        <v>9</v>
      </c>
    </row>
    <row r="38" spans="1:1" x14ac:dyDescent="0.3">
      <c r="A38" s="22">
        <v>9</v>
      </c>
    </row>
    <row r="39" spans="1:1" x14ac:dyDescent="0.3">
      <c r="A39" s="22">
        <v>9</v>
      </c>
    </row>
    <row r="40" spans="1:1" x14ac:dyDescent="0.3">
      <c r="A40" s="22">
        <v>5</v>
      </c>
    </row>
    <row r="41" spans="1:1" x14ac:dyDescent="0.3">
      <c r="A41" s="22">
        <v>5</v>
      </c>
    </row>
    <row r="42" spans="1:1" x14ac:dyDescent="0.3">
      <c r="A42" s="22">
        <v>0</v>
      </c>
    </row>
    <row r="43" spans="1:1" x14ac:dyDescent="0.3">
      <c r="A43" s="22">
        <v>0</v>
      </c>
    </row>
    <row r="44" spans="1:1" x14ac:dyDescent="0.3">
      <c r="A44" s="22">
        <v>7</v>
      </c>
    </row>
    <row r="45" spans="1:1" x14ac:dyDescent="0.3">
      <c r="A45" s="22">
        <v>1</v>
      </c>
    </row>
    <row r="46" spans="1:1" x14ac:dyDescent="0.3">
      <c r="A46" s="22">
        <v>0</v>
      </c>
    </row>
    <row r="47" spans="1:1" x14ac:dyDescent="0.3">
      <c r="A47" s="22">
        <v>7</v>
      </c>
    </row>
    <row r="48" spans="1:1" x14ac:dyDescent="0.3">
      <c r="A48" s="22">
        <v>0</v>
      </c>
    </row>
    <row r="49" spans="1:1" x14ac:dyDescent="0.3">
      <c r="A49" s="22">
        <v>3</v>
      </c>
    </row>
    <row r="50" spans="1:1" x14ac:dyDescent="0.3">
      <c r="A50" s="22">
        <v>6</v>
      </c>
    </row>
    <row r="51" spans="1:1" x14ac:dyDescent="0.3">
      <c r="A51" s="22">
        <v>2</v>
      </c>
    </row>
    <row r="52" spans="1:1" x14ac:dyDescent="0.3">
      <c r="A52" s="22">
        <v>2</v>
      </c>
    </row>
    <row r="53" spans="1:1" x14ac:dyDescent="0.3">
      <c r="A53" s="22">
        <v>7</v>
      </c>
    </row>
    <row r="54" spans="1:1" x14ac:dyDescent="0.3">
      <c r="A54" s="22">
        <v>2</v>
      </c>
    </row>
    <row r="55" spans="1:1" x14ac:dyDescent="0.3">
      <c r="A55" s="22">
        <v>2</v>
      </c>
    </row>
    <row r="56" spans="1:1" x14ac:dyDescent="0.3">
      <c r="A56" s="22">
        <v>9</v>
      </c>
    </row>
    <row r="57" spans="1:1" x14ac:dyDescent="0.3">
      <c r="A57" s="22">
        <v>2</v>
      </c>
    </row>
    <row r="58" spans="1:1" x14ac:dyDescent="0.3">
      <c r="A58" s="22">
        <v>4</v>
      </c>
    </row>
    <row r="59" spans="1:1" x14ac:dyDescent="0.3">
      <c r="A59" s="22">
        <v>2</v>
      </c>
    </row>
    <row r="60" spans="1:1" x14ac:dyDescent="0.3">
      <c r="A60" s="22">
        <v>3</v>
      </c>
    </row>
    <row r="61" spans="1:1" x14ac:dyDescent="0.3">
      <c r="A61" s="22">
        <v>3</v>
      </c>
    </row>
    <row r="62" spans="1:1" x14ac:dyDescent="0.3">
      <c r="A62" s="22">
        <v>1</v>
      </c>
    </row>
    <row r="63" spans="1:1" x14ac:dyDescent="0.3">
      <c r="A63" s="22">
        <v>9</v>
      </c>
    </row>
    <row r="64" spans="1:1" x14ac:dyDescent="0.3">
      <c r="A64" s="22">
        <v>9</v>
      </c>
    </row>
    <row r="65" spans="1:1" x14ac:dyDescent="0.3">
      <c r="A65" s="22">
        <v>3</v>
      </c>
    </row>
    <row r="66" spans="1:1" x14ac:dyDescent="0.3">
      <c r="A66" s="22">
        <v>7</v>
      </c>
    </row>
    <row r="67" spans="1:1" x14ac:dyDescent="0.3">
      <c r="A67" s="22">
        <v>9</v>
      </c>
    </row>
    <row r="68" spans="1:1" x14ac:dyDescent="0.3">
      <c r="A68" s="22">
        <v>5</v>
      </c>
    </row>
    <row r="69" spans="1:1" x14ac:dyDescent="0.3">
      <c r="A69" s="22">
        <v>7</v>
      </c>
    </row>
    <row r="70" spans="1:1" x14ac:dyDescent="0.3">
      <c r="A70" s="22">
        <v>3</v>
      </c>
    </row>
    <row r="71" spans="1:1" x14ac:dyDescent="0.3">
      <c r="A71" s="22">
        <v>5</v>
      </c>
    </row>
    <row r="72" spans="1:1" x14ac:dyDescent="0.3">
      <c r="A72" s="22">
        <v>2</v>
      </c>
    </row>
    <row r="73" spans="1:1" x14ac:dyDescent="0.3">
      <c r="A73" s="22">
        <v>0</v>
      </c>
    </row>
    <row r="74" spans="1:1" x14ac:dyDescent="0.3">
      <c r="A74" s="22">
        <v>2</v>
      </c>
    </row>
    <row r="75" spans="1:1" x14ac:dyDescent="0.3">
      <c r="A75" s="22">
        <v>4</v>
      </c>
    </row>
    <row r="76" spans="1:1" x14ac:dyDescent="0.3">
      <c r="A76" s="22">
        <v>0</v>
      </c>
    </row>
    <row r="77" spans="1:1" x14ac:dyDescent="0.3">
      <c r="A77" s="22">
        <v>1</v>
      </c>
    </row>
    <row r="78" spans="1:1" x14ac:dyDescent="0.3">
      <c r="A78" s="22">
        <v>1</v>
      </c>
    </row>
    <row r="79" spans="1:1" x14ac:dyDescent="0.3">
      <c r="A79" s="22">
        <v>3</v>
      </c>
    </row>
    <row r="80" spans="1:1" x14ac:dyDescent="0.3">
      <c r="A80" s="22">
        <v>6</v>
      </c>
    </row>
    <row r="81" spans="1:1" x14ac:dyDescent="0.3">
      <c r="A81" s="22">
        <v>4</v>
      </c>
    </row>
    <row r="82" spans="1:1" x14ac:dyDescent="0.3">
      <c r="A82" s="22">
        <v>3</v>
      </c>
    </row>
    <row r="83" spans="1:1" x14ac:dyDescent="0.3">
      <c r="A83" s="22">
        <v>6</v>
      </c>
    </row>
    <row r="84" spans="1:1" x14ac:dyDescent="0.3">
      <c r="A84" s="22">
        <v>8</v>
      </c>
    </row>
    <row r="85" spans="1:1" x14ac:dyDescent="0.3">
      <c r="A85" s="22">
        <v>8</v>
      </c>
    </row>
    <row r="86" spans="1:1" x14ac:dyDescent="0.3">
      <c r="A86" s="22">
        <v>8</v>
      </c>
    </row>
    <row r="87" spans="1:1" x14ac:dyDescent="0.3">
      <c r="A87" s="22">
        <v>0</v>
      </c>
    </row>
    <row r="88" spans="1:1" x14ac:dyDescent="0.3">
      <c r="A88" s="22">
        <v>5</v>
      </c>
    </row>
    <row r="89" spans="1:1" x14ac:dyDescent="0.3">
      <c r="A89" s="22">
        <v>0</v>
      </c>
    </row>
    <row r="90" spans="1:1" x14ac:dyDescent="0.3">
      <c r="A90" s="22">
        <v>1</v>
      </c>
    </row>
    <row r="91" spans="1:1" x14ac:dyDescent="0.3">
      <c r="A91" s="22">
        <v>5</v>
      </c>
    </row>
    <row r="92" spans="1:1" x14ac:dyDescent="0.3">
      <c r="A92" s="22">
        <v>0</v>
      </c>
    </row>
    <row r="93" spans="1:1" x14ac:dyDescent="0.3">
      <c r="A93" s="22">
        <v>9</v>
      </c>
    </row>
    <row r="94" spans="1:1" x14ac:dyDescent="0.3">
      <c r="A94" s="22">
        <v>9</v>
      </c>
    </row>
    <row r="95" spans="1:1" x14ac:dyDescent="0.3">
      <c r="A95" s="22">
        <v>9</v>
      </c>
    </row>
    <row r="96" spans="1:1" x14ac:dyDescent="0.3">
      <c r="A96" s="22">
        <v>2</v>
      </c>
    </row>
    <row r="97" spans="1:1" x14ac:dyDescent="0.3">
      <c r="A97" s="22">
        <v>6</v>
      </c>
    </row>
    <row r="98" spans="1:1" x14ac:dyDescent="0.3">
      <c r="A98" s="22">
        <v>4</v>
      </c>
    </row>
    <row r="99" spans="1:1" x14ac:dyDescent="0.3">
      <c r="A99" s="22">
        <v>4</v>
      </c>
    </row>
    <row r="100" spans="1:1" x14ac:dyDescent="0.3">
      <c r="A100" s="22">
        <v>2</v>
      </c>
    </row>
    <row r="101" spans="1:1" x14ac:dyDescent="0.3">
      <c r="A101" s="22">
        <v>4</v>
      </c>
    </row>
  </sheetData>
  <mergeCells count="1">
    <mergeCell ref="C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CD49-93BA-42FE-9456-FFEB86F759F5}">
  <dimension ref="A1:G10"/>
  <sheetViews>
    <sheetView workbookViewId="0">
      <selection activeCell="L18" sqref="L18"/>
    </sheetView>
  </sheetViews>
  <sheetFormatPr baseColWidth="10" defaultRowHeight="14.4" x14ac:dyDescent="0.3"/>
  <sheetData>
    <row r="1" spans="1:7" x14ac:dyDescent="0.3">
      <c r="A1" s="36"/>
      <c r="B1" s="36"/>
      <c r="C1" s="36"/>
      <c r="D1" s="36"/>
      <c r="E1" s="36"/>
      <c r="F1" s="36"/>
      <c r="G1" s="36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36"/>
      <c r="B3" s="36"/>
      <c r="C3" s="36"/>
      <c r="D3" s="36"/>
      <c r="E3" s="36"/>
      <c r="F3" s="36"/>
      <c r="G3" s="36"/>
    </row>
    <row r="4" spans="1:7" x14ac:dyDescent="0.3">
      <c r="A4" s="36"/>
      <c r="B4" s="36"/>
      <c r="C4" s="36"/>
      <c r="D4" s="36"/>
      <c r="E4" s="36"/>
      <c r="F4" s="36"/>
      <c r="G4" s="36"/>
    </row>
    <row r="5" spans="1:7" x14ac:dyDescent="0.3">
      <c r="A5" s="36"/>
      <c r="B5" s="36"/>
      <c r="C5" s="36"/>
      <c r="D5" s="36"/>
      <c r="E5" s="36"/>
      <c r="F5" s="36"/>
      <c r="G5" s="36"/>
    </row>
    <row r="6" spans="1:7" ht="15" thickBot="1" x14ac:dyDescent="0.35"/>
    <row r="7" spans="1:7" ht="15.6" x14ac:dyDescent="0.3">
      <c r="B7" s="26">
        <v>2</v>
      </c>
      <c r="C7" s="27">
        <v>7</v>
      </c>
      <c r="D7" s="27">
        <v>10</v>
      </c>
      <c r="E7" s="27">
        <v>16</v>
      </c>
      <c r="F7" s="28">
        <v>19</v>
      </c>
    </row>
    <row r="8" spans="1:7" ht="15.6" x14ac:dyDescent="0.3">
      <c r="B8" s="29">
        <v>22</v>
      </c>
      <c r="C8" s="24">
        <v>6</v>
      </c>
      <c r="D8" s="24">
        <v>25</v>
      </c>
      <c r="E8" s="24">
        <v>5</v>
      </c>
      <c r="F8" s="30">
        <v>20</v>
      </c>
    </row>
    <row r="9" spans="1:7" ht="15.6" x14ac:dyDescent="0.3">
      <c r="B9" s="29">
        <v>13</v>
      </c>
      <c r="C9" s="24">
        <v>32</v>
      </c>
      <c r="D9" s="24">
        <v>13</v>
      </c>
      <c r="E9" s="24">
        <v>29</v>
      </c>
      <c r="F9" s="30">
        <v>18</v>
      </c>
    </row>
    <row r="10" spans="1:7" ht="16.2" thickBot="1" x14ac:dyDescent="0.35">
      <c r="B10" s="31">
        <v>20</v>
      </c>
      <c r="C10" s="32">
        <v>13</v>
      </c>
      <c r="D10" s="32">
        <v>6</v>
      </c>
      <c r="E10" s="32">
        <v>12</v>
      </c>
      <c r="F10" s="33">
        <v>35</v>
      </c>
    </row>
  </sheetData>
  <mergeCells count="1">
    <mergeCell ref="A1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Ejer1</vt:lpstr>
      <vt:lpstr>Ejer 2</vt:lpstr>
      <vt:lpstr>Ejer3</vt:lpstr>
      <vt:lpstr>Gráfica de datos</vt:lpstr>
      <vt:lpstr>Ejer 4</vt:lpstr>
      <vt:lpstr>Ejer 5</vt:lpstr>
      <vt:lpstr>Ejer6</vt:lpstr>
      <vt:lpstr>Hoja7</vt:lpstr>
      <vt:lpstr>Ejer8</vt:lpstr>
      <vt:lpstr>Ejer9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Mejia Rodriguez</dc:creator>
  <cp:lastModifiedBy>Carlos Alberto Mejia Rodriguez</cp:lastModifiedBy>
  <dcterms:created xsi:type="dcterms:W3CDTF">2020-09-16T05:46:21Z</dcterms:created>
  <dcterms:modified xsi:type="dcterms:W3CDTF">2024-02-20T19:19:21Z</dcterms:modified>
</cp:coreProperties>
</file>